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ZBOOK\Desktop\System_GS\"/>
    </mc:Choice>
  </mc:AlternateContent>
  <xr:revisionPtr revIDLastSave="0" documentId="13_ncr:1_{1DE3DA53-3457-4671-B32F-9123612515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" l="1"/>
  <c r="H2" i="2"/>
  <c r="I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</calcChain>
</file>

<file path=xl/sharedStrings.xml><?xml version="1.0" encoding="utf-8"?>
<sst xmlns="http://schemas.openxmlformats.org/spreadsheetml/2006/main" count="562" uniqueCount="317">
  <si>
    <t>Name</t>
  </si>
  <si>
    <t>Email</t>
  </si>
  <si>
    <t>Checked In (Main)</t>
  </si>
  <si>
    <t>Session: Python Training</t>
  </si>
  <si>
    <t>Session: Data analysis training</t>
  </si>
  <si>
    <t>Session: Machine Learning Training</t>
  </si>
  <si>
    <t>Session: Data mining training</t>
  </si>
  <si>
    <t>No</t>
  </si>
  <si>
    <t>Mohammed Khatibi</t>
  </si>
  <si>
    <t>mohamedkhatibi472@gmail.com</t>
  </si>
  <si>
    <t>Apr 24, 16:13</t>
  </si>
  <si>
    <t>Apr 30, 12:16</t>
  </si>
  <si>
    <t>SARA LAHJIRI</t>
  </si>
  <si>
    <t>sara.lahjiri@gmail.com</t>
  </si>
  <si>
    <t>Apr 23, 2026 16:47</t>
  </si>
  <si>
    <t>Apr 24, 01:51</t>
  </si>
  <si>
    <t>May 05, 00:53</t>
  </si>
  <si>
    <t>Apr 18, 12:42</t>
  </si>
  <si>
    <t>Chaimae Abzi</t>
  </si>
  <si>
    <t>chaimae.abzi-etu@etu.univh2c.ma</t>
  </si>
  <si>
    <t>Apr 17, 16:15</t>
  </si>
  <si>
    <t>Apr 24, 16:20</t>
  </si>
  <si>
    <t>jamaaoui badreddine</t>
  </si>
  <si>
    <t>jamaaoui.business@gmail.com</t>
  </si>
  <si>
    <t>May 05, 00:55</t>
  </si>
  <si>
    <t>May 05, 00:56</t>
  </si>
  <si>
    <t>Hafssa Sabil</t>
  </si>
  <si>
    <t>hafssasabil@gmail.com</t>
  </si>
  <si>
    <t>Apr 17, 14:31</t>
  </si>
  <si>
    <t>Zakaria Idderhem</t>
  </si>
  <si>
    <t>zikoidderhem452@gmail.com</t>
  </si>
  <si>
    <t>Apr 17, 14:47</t>
  </si>
  <si>
    <t>Apr 23, 14:10</t>
  </si>
  <si>
    <t>Anas elmarrakchi</t>
  </si>
  <si>
    <t>anaselmarrakchi66@gmail.com</t>
  </si>
  <si>
    <t>Apr 17, 15:54</t>
  </si>
  <si>
    <t>Apr 23, 14:09</t>
  </si>
  <si>
    <t>Apr 17, 15:55</t>
  </si>
  <si>
    <t>Mohamed Alouhmy</t>
  </si>
  <si>
    <t>louhmiwaslost@gmail.com</t>
  </si>
  <si>
    <t>Apr 18, 12:40</t>
  </si>
  <si>
    <t>Apr 23, 14:18</t>
  </si>
  <si>
    <t>May 05, 00:52</t>
  </si>
  <si>
    <t>Nohayla lakhdar</t>
  </si>
  <si>
    <t>lakhdarnohayla@gmail.com</t>
  </si>
  <si>
    <t>Apr 23, 13:55</t>
  </si>
  <si>
    <t>Apr 17, 14:29</t>
  </si>
  <si>
    <t>Alahmoum Abdellah</t>
  </si>
  <si>
    <t>alahmoumabdellahoff@gmail.com</t>
  </si>
  <si>
    <t>Apr 16, 14:09</t>
  </si>
  <si>
    <t>Apr 23, 13:53</t>
  </si>
  <si>
    <t>Apr 16, 14:12</t>
  </si>
  <si>
    <t>Apr 24, 16:18</t>
  </si>
  <si>
    <t>Benzakour Kenza</t>
  </si>
  <si>
    <t>benzakourkenza16@gmail.com</t>
  </si>
  <si>
    <t>Zakaria channoun</t>
  </si>
  <si>
    <t>zakariasdsdsd@gmail.com</t>
  </si>
  <si>
    <t>Apr 16, 14:01</t>
  </si>
  <si>
    <t>Hiba Ait el makhzen</t>
  </si>
  <si>
    <t>hibaaitelmakhzen508@gmail.com</t>
  </si>
  <si>
    <t>Apr 23, 2026 16:48</t>
  </si>
  <si>
    <t>Apr 16, 17:09</t>
  </si>
  <si>
    <t>Apr 17, 17:23</t>
  </si>
  <si>
    <t>May 05, 00:54</t>
  </si>
  <si>
    <t>Fadila Afllah</t>
  </si>
  <si>
    <t>afllahfadila@gmail.com</t>
  </si>
  <si>
    <t>fatima ait lahcen</t>
  </si>
  <si>
    <t>fatimaaitlahcen233@gmail.com</t>
  </si>
  <si>
    <t>Apr 16, 16:06</t>
  </si>
  <si>
    <t>Apr 17, 14:27</t>
  </si>
  <si>
    <t>Apr 16, 14:16</t>
  </si>
  <si>
    <t>IMANE LAFRAM</t>
  </si>
  <si>
    <t>imane.lafram1-etu@etu.univh2c.ma</t>
  </si>
  <si>
    <t>Apr 17, 17:02</t>
  </si>
  <si>
    <t>May 05, 00:51</t>
  </si>
  <si>
    <t>Romaissaa AGDAY</t>
  </si>
  <si>
    <t>agdayromaissaa@gmail.com</t>
  </si>
  <si>
    <t>Apr 23, 14:19</t>
  </si>
  <si>
    <t>Kehail Meryem</t>
  </si>
  <si>
    <t>mlle.kehailmeryem2004@gmail.com</t>
  </si>
  <si>
    <t>Apr 17, 14:33</t>
  </si>
  <si>
    <t>Apr 23, 14:11</t>
  </si>
  <si>
    <t xml:space="preserve">Jihane Jabbour </t>
  </si>
  <si>
    <t>jihanejabour94@gmail.com</t>
  </si>
  <si>
    <t>Apr 16, 14:08</t>
  </si>
  <si>
    <t>Apr 17, 14:07</t>
  </si>
  <si>
    <t>Apr 24, 16:12</t>
  </si>
  <si>
    <t>Houda Essaouaf</t>
  </si>
  <si>
    <t>houda.essaouaf@gmail.com</t>
  </si>
  <si>
    <t>Apr 16, 17:12</t>
  </si>
  <si>
    <t>Apr 18, 12:39</t>
  </si>
  <si>
    <t>Apr 11, 2026 12:22</t>
  </si>
  <si>
    <t>SOUFIAN EL HARTOUNI</t>
  </si>
  <si>
    <t>soufian.hartouni@gmail.com</t>
  </si>
  <si>
    <t>Apr 11, 2026 12:16</t>
  </si>
  <si>
    <t>Apr 16, 14:00</t>
  </si>
  <si>
    <t>Apr 17, 14:23</t>
  </si>
  <si>
    <t>Apr 24, 16:17</t>
  </si>
  <si>
    <t>Apr 30, 10:08</t>
  </si>
  <si>
    <t>Lina beqqali</t>
  </si>
  <si>
    <t>linabeqqali@gmail.com</t>
  </si>
  <si>
    <t>Apr 11, 2026 12:46</t>
  </si>
  <si>
    <t>Apr 17, 16:46</t>
  </si>
  <si>
    <t>Apr 17, 16:47</t>
  </si>
  <si>
    <t>Apr 30, 10:16</t>
  </si>
  <si>
    <t>Hiba elbosta</t>
  </si>
  <si>
    <t>elbostahiba65@gmail.com</t>
  </si>
  <si>
    <t>Apr 30, 10:11</t>
  </si>
  <si>
    <t>Merwa Zaitouni</t>
  </si>
  <si>
    <t>merwazaitouni18@gmail.com</t>
  </si>
  <si>
    <t>Apr 16, 13:45</t>
  </si>
  <si>
    <t>Chaymae Abraim</t>
  </si>
  <si>
    <t>chaymae.abraim@gmail.com</t>
  </si>
  <si>
    <t>Apr 11, 2026 13:29</t>
  </si>
  <si>
    <t>Apr 12, 2026 12:25</t>
  </si>
  <si>
    <t>Meriem BOUBAIJI</t>
  </si>
  <si>
    <t>meriemboubayj8@gmail.com</t>
  </si>
  <si>
    <t>Apr 11, 2026 12:45</t>
  </si>
  <si>
    <t>Apr 16, 14:29</t>
  </si>
  <si>
    <t>Apr 17, 14:52</t>
  </si>
  <si>
    <t>Ines FAIDI</t>
  </si>
  <si>
    <t>inesfaidi44@gmail.com</t>
  </si>
  <si>
    <t>Apr 16, 13:58</t>
  </si>
  <si>
    <t>Apr 17, 14:15</t>
  </si>
  <si>
    <t>Fatima zahraa Adib</t>
  </si>
  <si>
    <t>adibfatimazahraa2@gmail.com</t>
  </si>
  <si>
    <t>Apr 11, 2026 12:14</t>
  </si>
  <si>
    <t>Apr 16, 13:57</t>
  </si>
  <si>
    <t>Apr 30, 09:56</t>
  </si>
  <si>
    <t>yahya</t>
  </si>
  <si>
    <t>yahyadev33@gmail.com</t>
  </si>
  <si>
    <t>Apr 12, 2026 12:27</t>
  </si>
  <si>
    <t>Safae Anaddam</t>
  </si>
  <si>
    <t>safaeandame@gmail.com</t>
  </si>
  <si>
    <t>Apr 25, 14:45</t>
  </si>
  <si>
    <t>Sara mofakir</t>
  </si>
  <si>
    <t>saramofakir55@gmail.com</t>
  </si>
  <si>
    <t>Apr 12, 2026 12:26</t>
  </si>
  <si>
    <t>Hiba HAGUIRA</t>
  </si>
  <si>
    <t>hibahaguira17@gmail.com</t>
  </si>
  <si>
    <t>Apr 11, 2026 12:07</t>
  </si>
  <si>
    <t>Apr 16, 14:10</t>
  </si>
  <si>
    <t>Apr 30, 10:09</t>
  </si>
  <si>
    <t>aya laamari</t>
  </si>
  <si>
    <t>laamariaya5@gmail.com</t>
  </si>
  <si>
    <t>Apr 16, 15:01</t>
  </si>
  <si>
    <t>Apr 17, 14:16</t>
  </si>
  <si>
    <t>BENGAMRA Salma</t>
  </si>
  <si>
    <t>bengamrasalma880@gmail.com</t>
  </si>
  <si>
    <t>Apr 11, 2026 12:18</t>
  </si>
  <si>
    <t>Apr 16, 13:59</t>
  </si>
  <si>
    <t>Apr 17, 14:14</t>
  </si>
  <si>
    <t>Apr 30, 10:28</t>
  </si>
  <si>
    <t>Maryem oubahim</t>
  </si>
  <si>
    <t>meriemoubahim2006@gmail.com</t>
  </si>
  <si>
    <t>Apr 16, 14:04</t>
  </si>
  <si>
    <t>Dounia zaki</t>
  </si>
  <si>
    <t>zakidounia2006@gmail.com</t>
  </si>
  <si>
    <t>Apr 11, 2026 11:49</t>
  </si>
  <si>
    <t>Apr 25, 15:44</t>
  </si>
  <si>
    <t>Apr 30, 09:57</t>
  </si>
  <si>
    <t>Ayoub BACHAR</t>
  </si>
  <si>
    <t>Apr 17, 14:24</t>
  </si>
  <si>
    <t>Assia Moufdil</t>
  </si>
  <si>
    <t>assiamoufdil22@gmail.com</t>
  </si>
  <si>
    <t>Apr 11, 2026 12:03</t>
  </si>
  <si>
    <t>Apr 16, 13:39</t>
  </si>
  <si>
    <t>rania</t>
  </si>
  <si>
    <t>lisaofficialrose@gmail.com</t>
  </si>
  <si>
    <t>Apr 11, 2026 12:08</t>
  </si>
  <si>
    <t>Apr 17, 14:08</t>
  </si>
  <si>
    <t>Salma chahi</t>
  </si>
  <si>
    <t>salmaachahii@gmail.com</t>
  </si>
  <si>
    <t>Rania Boudad</t>
  </si>
  <si>
    <t>boudadrania@gmail.com</t>
  </si>
  <si>
    <t>Amine el moucharif</t>
  </si>
  <si>
    <t>elmoucharifamine@gmail.com</t>
  </si>
  <si>
    <t>Apr 11, 2026 11:55</t>
  </si>
  <si>
    <t>Apr 16, 13:30</t>
  </si>
  <si>
    <t>Apr 17, 14:28</t>
  </si>
  <si>
    <t>May 05, 00:50</t>
  </si>
  <si>
    <t>Tair Salma</t>
  </si>
  <si>
    <t>salmatair8@gmail.com</t>
  </si>
  <si>
    <t>Apr 16, 13:48</t>
  </si>
  <si>
    <t>Apr 17, 17:24</t>
  </si>
  <si>
    <t>Oumnia Hajjaoui</t>
  </si>
  <si>
    <t>oumniahajjaoui@gmail.com</t>
  </si>
  <si>
    <t>Apr 16, 14:06</t>
  </si>
  <si>
    <t>Apr 24, 16:19</t>
  </si>
  <si>
    <t>Apr 30, 10:06</t>
  </si>
  <si>
    <t>Naima Farissi</t>
  </si>
  <si>
    <t>naimafarissi10@gmail.com</t>
  </si>
  <si>
    <t>Apr 11, 2026 12:21</t>
  </si>
  <si>
    <t>Apr 16, 13:47</t>
  </si>
  <si>
    <t>Apr 11, 2026 11:50</t>
  </si>
  <si>
    <t>Soufiane EL MOUNADDIF</t>
  </si>
  <si>
    <t>elm.soufiane2025@gmail.com</t>
  </si>
  <si>
    <t>Apr 11, 2026 14:50</t>
  </si>
  <si>
    <t>Apr 16, 13:52</t>
  </si>
  <si>
    <t>Apr 17, 15:56</t>
  </si>
  <si>
    <t>Nourelislam Zaitouni</t>
  </si>
  <si>
    <t>nourelislamzaitouni@gmail.com</t>
  </si>
  <si>
    <t>Apr 12, 2026 12:28</t>
  </si>
  <si>
    <t>Apr 17, 14:34</t>
  </si>
  <si>
    <t>Apr 30, 12:15</t>
  </si>
  <si>
    <t>Apr 11, 2026 12:01</t>
  </si>
  <si>
    <t>HAJAR FENNANE</t>
  </si>
  <si>
    <t>hajar.fennane2004@gmail.com</t>
  </si>
  <si>
    <t>Apr 18, 02:07</t>
  </si>
  <si>
    <t>Apr 17, 14:49</t>
  </si>
  <si>
    <t>Salaheddine CHIKHI</t>
  </si>
  <si>
    <t>chikhisalaheddine60@gmail.com</t>
  </si>
  <si>
    <t>Wissam Chahid</t>
  </si>
  <si>
    <t>chahidwissam123@gmail.com</t>
  </si>
  <si>
    <t>Ahmed Chokri</t>
  </si>
  <si>
    <t>ahmedchokri2004@gmail.com</t>
  </si>
  <si>
    <t>Apr 11, 2026 12:23</t>
  </si>
  <si>
    <t>Apr 17, 14:48</t>
  </si>
  <si>
    <t xml:space="preserve">Arwa Laawine </t>
  </si>
  <si>
    <t>arwalaawine@gmail.com</t>
  </si>
  <si>
    <t>Apr 11, 2026 12:30</t>
  </si>
  <si>
    <t>Apr 17, 14:19</t>
  </si>
  <si>
    <t>Ahmed el gadiri</t>
  </si>
  <si>
    <t>elgadiriahmed98@gmail.com</t>
  </si>
  <si>
    <t>Apr 18, 12:38</t>
  </si>
  <si>
    <t>Apr 24, 16:15</t>
  </si>
  <si>
    <t>Salma Elmadani</t>
  </si>
  <si>
    <t>salma.elmadani16@gmail.com</t>
  </si>
  <si>
    <t>Apr 16, 14:34</t>
  </si>
  <si>
    <t>Apr 17, 14:17</t>
  </si>
  <si>
    <t>Apr 24, 16:16</t>
  </si>
  <si>
    <t>‪ABDELOUAHED BOUASSA‬‏</t>
  </si>
  <si>
    <t>abdelouahedbouassa1@gmail.com</t>
  </si>
  <si>
    <t>Apr 11, 2026 11:54</t>
  </si>
  <si>
    <t>Apr 30, 09:59</t>
  </si>
  <si>
    <t>Amal ait ihya</t>
  </si>
  <si>
    <t>aitihyaamal@gmail.com</t>
  </si>
  <si>
    <t>Apr 16, 17:08</t>
  </si>
  <si>
    <t>zineb dafir</t>
  </si>
  <si>
    <t>zinebzineb1204@gmail.com</t>
  </si>
  <si>
    <t>Apr 17, 14:53</t>
  </si>
  <si>
    <t>Apr 30, 10:07</t>
  </si>
  <si>
    <t>MOUTMIHI Chems Eddoha</t>
  </si>
  <si>
    <t>chemseddohamoutmihi@gmail.com</t>
  </si>
  <si>
    <t>Apr 30, 10:32</t>
  </si>
  <si>
    <t>Fatimazahra BARAKAT</t>
  </si>
  <si>
    <t>fatimazahrabarakat2000@gmail.com</t>
  </si>
  <si>
    <t>aya elyafi</t>
  </si>
  <si>
    <t>elyafiaya@gmail.com</t>
  </si>
  <si>
    <t>BASSMA LAHMIDI</t>
  </si>
  <si>
    <t>bassmalahmidi4@gmail.com</t>
  </si>
  <si>
    <t>Apr 11, 2026 12:31</t>
  </si>
  <si>
    <t>Apr 17, 14:55</t>
  </si>
  <si>
    <t>Imane Dibt</t>
  </si>
  <si>
    <t>dibtimane@gmail.com</t>
  </si>
  <si>
    <t>Apr 30, 10:00</t>
  </si>
  <si>
    <t>Abid aymen</t>
  </si>
  <si>
    <t>aymenabid018@gmail.com</t>
  </si>
  <si>
    <t>Apr 11, 2026 11:53</t>
  </si>
  <si>
    <t>Apr 30, 09:58</t>
  </si>
  <si>
    <t>oufkir adam</t>
  </si>
  <si>
    <t>oufkiradam241@gmail.com</t>
  </si>
  <si>
    <t>Apr 16, 13:38</t>
  </si>
  <si>
    <t>Hind Bott</t>
  </si>
  <si>
    <t>hindbott@gmail.com</t>
  </si>
  <si>
    <t>Apr 12, 2026 12:40</t>
  </si>
  <si>
    <t>Aya Ouassahoulou</t>
  </si>
  <si>
    <t>ouassahoulou.as@gmail.com</t>
  </si>
  <si>
    <t>Apr 16, 14:02</t>
  </si>
  <si>
    <t>Apr 17, 17:12</t>
  </si>
  <si>
    <t>Taib Moujar</t>
  </si>
  <si>
    <t>moujartaib@gmail.com</t>
  </si>
  <si>
    <t>Apr 16, 13:50</t>
  </si>
  <si>
    <t>Apr 17, 14:26</t>
  </si>
  <si>
    <t>Apr 23, 13:54</t>
  </si>
  <si>
    <t>Khadija Hafidi</t>
  </si>
  <si>
    <t>khadijahafidi765@gmail.com</t>
  </si>
  <si>
    <t>Apr 11, 2026 13:07</t>
  </si>
  <si>
    <t>Apr 16, 17:10</t>
  </si>
  <si>
    <t>Apr 17, 15:31</t>
  </si>
  <si>
    <t>Ait Hamd Hiba</t>
  </si>
  <si>
    <t>hibaaithamd2@gmail.com</t>
  </si>
  <si>
    <t>Apr 11, 2026 13:11</t>
  </si>
  <si>
    <t>Apr 24, 01:50</t>
  </si>
  <si>
    <t>Ayman AIT HAJ KADDOUR</t>
  </si>
  <si>
    <t>aymanaithajkaddour@gmail.com</t>
  </si>
  <si>
    <t>Apr 16, 13:56</t>
  </si>
  <si>
    <t>Aicha ait bbouih</t>
  </si>
  <si>
    <t>abentahir423@gmail.com</t>
  </si>
  <si>
    <t>Mehdi EL Harafi</t>
  </si>
  <si>
    <t>mehdielharafi@yahoo.com</t>
  </si>
  <si>
    <t>Ait El Bour Aya</t>
  </si>
  <si>
    <t>aya.ait.el12@gmail.com</t>
  </si>
  <si>
    <t>Hajar essaqui</t>
  </si>
  <si>
    <t>hjress67890@gmail.com</t>
  </si>
  <si>
    <t>Apr 12, 2026 12:42</t>
  </si>
  <si>
    <t>Apr 16, 16:29</t>
  </si>
  <si>
    <t>Ikram Msalek</t>
  </si>
  <si>
    <t>msalekikram2006@gmail.com</t>
  </si>
  <si>
    <t>Apr 12, 2026 12:43</t>
  </si>
  <si>
    <t>Apr 16, 13:41</t>
  </si>
  <si>
    <t>Apr 18, 12:45</t>
  </si>
  <si>
    <t>Yassine Azbak</t>
  </si>
  <si>
    <t>yassine.azbak@gmail.com</t>
  </si>
  <si>
    <t>Apr 12, 2026 12:44</t>
  </si>
  <si>
    <t>Benzakour EL Ghali</t>
  </si>
  <si>
    <t>b.ghali2006@gmail.com</t>
  </si>
  <si>
    <t>Apr 12, 2026 12:41</t>
  </si>
  <si>
    <t>Mohamed ABENAY</t>
  </si>
  <si>
    <t>mohammedabenay107@gmail.com</t>
  </si>
  <si>
    <t>Hiba hadeg</t>
  </si>
  <si>
    <t>hibahadeg35@gmail.com</t>
  </si>
  <si>
    <t>Apr 12, 2026 12:45</t>
  </si>
  <si>
    <t>Apr 16, 17:15</t>
  </si>
  <si>
    <t>NB Certificats</t>
  </si>
  <si>
    <t>bonus</t>
  </si>
  <si>
    <t>lahm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</si>
</sst>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1" xfId="0" applyFont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CD53B-43BC-48A7-B176-3292636D08FA}" name="Tableau2" displayName="Tableau2" ref="A1:I80" totalsRowShown="0" headerRowDxfId="12" dataDxfId="10" headerRowBorderDxfId="11" tableBorderDxfId="9">
  <autoFilter ref="A1:I80" xr:uid="{777CD53B-43BC-48A7-B176-3292636D08FA}"/>
  <tableColumns count="9">
    <tableColumn id="1" xr3:uid="{86BC3FB0-B766-4392-9C1B-153D11728682}" name="Name" dataDxfId="8"/>
    <tableColumn id="2" xr3:uid="{78B4AEAD-39BD-4011-8D4C-1097EE304228}" name="Email" dataDxfId="7"/>
    <tableColumn id="3" xr3:uid="{2861E7B8-F7FF-4845-BB6C-87F8D21F2CAE}" name="Checked In (Main)" dataDxfId="6"/>
    <tableColumn id="4" xr3:uid="{36BC1908-A819-4948-B8F7-A1E9E05B4D17}" name="Session: Python Training" dataDxfId="5"/>
    <tableColumn id="5" xr3:uid="{0593D494-AAAB-4EFF-90A2-36FE045A8744}" name="Session: Data analysis training" dataDxfId="4"/>
    <tableColumn id="6" xr3:uid="{862EE29F-DF26-4344-AB79-FE32867DB063}" name="Session: Machine Learning Training" dataDxfId="3"/>
    <tableColumn id="7" xr3:uid="{2F285808-7C72-4101-B3EE-5EEB2564BE17}" name="Session: Data mining training" dataDxfId="2"/>
    <tableColumn id="8" xr3:uid="{1125F2ED-6A20-480A-B6F1-8ECF89ADBD92}" name="NB Certificats" dataDxfId="1">
      <calculatedColumnFormula>COUNTIF(D2:G2,"&lt;&gt;NO")</calculatedColumnFormula>
    </tableColumn>
    <tableColumn id="9" xr3:uid="{B0E365B3-6094-4C29-9D44-9D5A9EC57D1D}" name="bonus" dataDxfId="0">
      <calculatedColumnFormula>COUNTIF(C2,"&lt;&gt;NO")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0554-D1F0-47E7-8FE8-2C3A851857F7}">
  <sheetPr>
    <pageSetUpPr fitToPage="1"/>
  </sheetPr>
  <dimension ref="A1:I80"/>
  <sheetViews>
    <sheetView tabSelected="1" topLeftCell="A61" workbookViewId="0">
      <selection activeCell="K76" sqref="K76"/>
    </sheetView>
  </sheetViews>
  <sheetFormatPr baseColWidth="10" defaultRowHeight="15.6" x14ac:dyDescent="0.3"/>
  <cols>
    <col min="1" max="1" width="23.296875" bestFit="1" customWidth="1"/>
    <col min="2" max="2" width="32" bestFit="1" customWidth="1"/>
    <col min="3" max="3" width="15.796875" customWidth="1"/>
    <col min="4" max="4" width="12.19921875" customWidth="1"/>
    <col min="5" max="6" width="11.796875" customWidth="1"/>
    <col min="7" max="7" width="12.5" customWidth="1"/>
    <col min="8" max="8" width="8.09765625" customWidth="1"/>
    <col min="9" max="9" width="8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314</v>
      </c>
      <c r="I1" s="3" t="s">
        <v>315</v>
      </c>
    </row>
    <row r="2" spans="1:9" x14ac:dyDescent="0.3">
      <c r="A2" s="2" t="s">
        <v>8</v>
      </c>
      <c r="B2" s="2" t="s">
        <v>9</v>
      </c>
      <c r="C2" s="2" t="s">
        <v>7</v>
      </c>
      <c r="D2" s="2" t="s">
        <v>7</v>
      </c>
      <c r="E2" s="2" t="s">
        <v>7</v>
      </c>
      <c r="F2" s="2" t="s">
        <v>10</v>
      </c>
      <c r="G2" s="2" t="s">
        <v>11</v>
      </c>
      <c r="H2" s="2">
        <f t="shared" ref="H2:H33" si="0">COUNTIF(D2:G2,"&lt;&gt;NO")</f>
        <v>2</v>
      </c>
      <c r="I2" s="2">
        <f t="shared" ref="I2:I33" si="1">COUNTIF(C2,"&lt;&gt;NO")</f>
        <v>0</v>
      </c>
    </row>
    <row r="3" spans="1:9" x14ac:dyDescent="0.3">
      <c r="A3" s="1" t="s">
        <v>12</v>
      </c>
      <c r="B3" s="1" t="s">
        <v>13</v>
      </c>
      <c r="C3" s="1" t="s">
        <v>14</v>
      </c>
      <c r="D3" s="1" t="s">
        <v>7</v>
      </c>
      <c r="E3" s="1" t="s">
        <v>7</v>
      </c>
      <c r="F3" s="1" t="s">
        <v>15</v>
      </c>
      <c r="G3" s="1" t="s">
        <v>16</v>
      </c>
      <c r="H3" s="1">
        <f t="shared" si="0"/>
        <v>2</v>
      </c>
      <c r="I3" s="1">
        <f t="shared" si="1"/>
        <v>1</v>
      </c>
    </row>
    <row r="4" spans="1:9" x14ac:dyDescent="0.3">
      <c r="A4" s="2" t="s">
        <v>18</v>
      </c>
      <c r="B4" s="2" t="s">
        <v>19</v>
      </c>
      <c r="C4" s="2" t="s">
        <v>7</v>
      </c>
      <c r="D4" s="2" t="s">
        <v>7</v>
      </c>
      <c r="E4" s="2" t="s">
        <v>20</v>
      </c>
      <c r="F4" s="2" t="s">
        <v>21</v>
      </c>
      <c r="G4" s="2" t="s">
        <v>7</v>
      </c>
      <c r="H4" s="2">
        <f t="shared" si="0"/>
        <v>2</v>
      </c>
      <c r="I4" s="2">
        <f t="shared" si="1"/>
        <v>0</v>
      </c>
    </row>
    <row r="5" spans="1:9" x14ac:dyDescent="0.3">
      <c r="A5" s="1" t="s">
        <v>22</v>
      </c>
      <c r="B5" s="1" t="s">
        <v>23</v>
      </c>
      <c r="C5" s="1" t="s">
        <v>7</v>
      </c>
      <c r="D5" s="1" t="s">
        <v>7</v>
      </c>
      <c r="E5" s="1" t="s">
        <v>17</v>
      </c>
      <c r="F5" s="1" t="s">
        <v>24</v>
      </c>
      <c r="G5" s="1" t="s">
        <v>25</v>
      </c>
      <c r="H5" s="1">
        <f t="shared" si="0"/>
        <v>3</v>
      </c>
      <c r="I5" s="1">
        <f t="shared" si="1"/>
        <v>0</v>
      </c>
    </row>
    <row r="6" spans="1:9" x14ac:dyDescent="0.3">
      <c r="A6" s="2" t="s">
        <v>26</v>
      </c>
      <c r="B6" s="2" t="s">
        <v>27</v>
      </c>
      <c r="C6" s="2" t="s">
        <v>7</v>
      </c>
      <c r="D6" s="2" t="s">
        <v>7</v>
      </c>
      <c r="E6" s="2" t="s">
        <v>17</v>
      </c>
      <c r="F6" s="2" t="s">
        <v>24</v>
      </c>
      <c r="G6" s="2" t="s">
        <v>25</v>
      </c>
      <c r="H6" s="2">
        <f t="shared" si="0"/>
        <v>3</v>
      </c>
      <c r="I6" s="2">
        <f t="shared" si="1"/>
        <v>0</v>
      </c>
    </row>
    <row r="7" spans="1:9" x14ac:dyDescent="0.3">
      <c r="A7" s="1" t="s">
        <v>29</v>
      </c>
      <c r="B7" s="1" t="s">
        <v>30</v>
      </c>
      <c r="C7" s="1" t="s">
        <v>7</v>
      </c>
      <c r="D7" s="1" t="s">
        <v>7</v>
      </c>
      <c r="E7" s="1" t="s">
        <v>31</v>
      </c>
      <c r="F7" s="1" t="s">
        <v>32</v>
      </c>
      <c r="G7" s="1" t="s">
        <v>7</v>
      </c>
      <c r="H7" s="1">
        <f t="shared" si="0"/>
        <v>2</v>
      </c>
      <c r="I7" s="1">
        <f t="shared" si="1"/>
        <v>0</v>
      </c>
    </row>
    <row r="8" spans="1:9" x14ac:dyDescent="0.3">
      <c r="A8" s="2" t="s">
        <v>33</v>
      </c>
      <c r="B8" s="2" t="s">
        <v>34</v>
      </c>
      <c r="C8" s="2" t="s">
        <v>7</v>
      </c>
      <c r="D8" s="2" t="s">
        <v>7</v>
      </c>
      <c r="E8" s="2" t="s">
        <v>35</v>
      </c>
      <c r="F8" s="2" t="s">
        <v>36</v>
      </c>
      <c r="G8" s="2" t="s">
        <v>7</v>
      </c>
      <c r="H8" s="2">
        <f t="shared" si="0"/>
        <v>2</v>
      </c>
      <c r="I8" s="2">
        <f t="shared" si="1"/>
        <v>0</v>
      </c>
    </row>
    <row r="9" spans="1:9" x14ac:dyDescent="0.3">
      <c r="A9" s="1" t="s">
        <v>38</v>
      </c>
      <c r="B9" s="1" t="s">
        <v>39</v>
      </c>
      <c r="C9" s="1" t="s">
        <v>7</v>
      </c>
      <c r="D9" s="1" t="s">
        <v>7</v>
      </c>
      <c r="E9" s="1" t="s">
        <v>40</v>
      </c>
      <c r="F9" s="1" t="s">
        <v>41</v>
      </c>
      <c r="G9" s="1" t="s">
        <v>42</v>
      </c>
      <c r="H9" s="1">
        <f t="shared" si="0"/>
        <v>3</v>
      </c>
      <c r="I9" s="1">
        <f t="shared" si="1"/>
        <v>0</v>
      </c>
    </row>
    <row r="10" spans="1:9" x14ac:dyDescent="0.3">
      <c r="A10" s="2" t="s">
        <v>43</v>
      </c>
      <c r="B10" s="2" t="s">
        <v>44</v>
      </c>
      <c r="C10" s="2" t="s">
        <v>7</v>
      </c>
      <c r="D10" s="2" t="s">
        <v>7</v>
      </c>
      <c r="E10" s="2" t="s">
        <v>7</v>
      </c>
      <c r="F10" s="2" t="s">
        <v>45</v>
      </c>
      <c r="G10" s="2" t="s">
        <v>42</v>
      </c>
      <c r="H10" s="2">
        <f t="shared" si="0"/>
        <v>2</v>
      </c>
      <c r="I10" s="2">
        <f t="shared" si="1"/>
        <v>0</v>
      </c>
    </row>
    <row r="11" spans="1:9" x14ac:dyDescent="0.3">
      <c r="A11" s="1" t="s">
        <v>47</v>
      </c>
      <c r="B11" s="1" t="s">
        <v>48</v>
      </c>
      <c r="C11" s="1" t="s">
        <v>7</v>
      </c>
      <c r="D11" s="1" t="s">
        <v>49</v>
      </c>
      <c r="E11" s="1" t="s">
        <v>46</v>
      </c>
      <c r="F11" s="1" t="s">
        <v>50</v>
      </c>
      <c r="G11" s="1" t="s">
        <v>16</v>
      </c>
      <c r="H11" s="1">
        <f t="shared" si="0"/>
        <v>4</v>
      </c>
      <c r="I11" s="1">
        <f t="shared" si="1"/>
        <v>0</v>
      </c>
    </row>
    <row r="12" spans="1:9" x14ac:dyDescent="0.3">
      <c r="A12" s="2" t="s">
        <v>53</v>
      </c>
      <c r="B12" s="2" t="s">
        <v>54</v>
      </c>
      <c r="C12" s="2" t="s">
        <v>7</v>
      </c>
      <c r="D12" s="2" t="s">
        <v>49</v>
      </c>
      <c r="E12" s="2" t="s">
        <v>37</v>
      </c>
      <c r="F12" s="2" t="s">
        <v>36</v>
      </c>
      <c r="G12" s="2" t="s">
        <v>7</v>
      </c>
      <c r="H12" s="2">
        <f t="shared" si="0"/>
        <v>3</v>
      </c>
      <c r="I12" s="2">
        <f t="shared" si="1"/>
        <v>0</v>
      </c>
    </row>
    <row r="13" spans="1:9" x14ac:dyDescent="0.3">
      <c r="A13" s="1" t="s">
        <v>55</v>
      </c>
      <c r="B13" s="1" t="s">
        <v>56</v>
      </c>
      <c r="C13" s="1" t="s">
        <v>7</v>
      </c>
      <c r="D13" s="1" t="s">
        <v>57</v>
      </c>
      <c r="E13" s="1" t="s">
        <v>31</v>
      </c>
      <c r="F13" s="1" t="s">
        <v>7</v>
      </c>
      <c r="G13" s="1" t="s">
        <v>7</v>
      </c>
      <c r="H13" s="1">
        <f t="shared" si="0"/>
        <v>2</v>
      </c>
      <c r="I13" s="1">
        <f t="shared" si="1"/>
        <v>0</v>
      </c>
    </row>
    <row r="14" spans="1:9" x14ac:dyDescent="0.3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7</v>
      </c>
      <c r="G14" s="2" t="s">
        <v>63</v>
      </c>
      <c r="H14" s="2">
        <f t="shared" si="0"/>
        <v>3</v>
      </c>
      <c r="I14" s="2">
        <f t="shared" si="1"/>
        <v>1</v>
      </c>
    </row>
    <row r="15" spans="1:9" x14ac:dyDescent="0.3">
      <c r="A15" s="1" t="s">
        <v>64</v>
      </c>
      <c r="B15" s="1" t="s">
        <v>65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42</v>
      </c>
      <c r="H15" s="1">
        <f t="shared" si="0"/>
        <v>4</v>
      </c>
      <c r="I15" s="1">
        <f t="shared" si="1"/>
        <v>1</v>
      </c>
    </row>
    <row r="16" spans="1:9" x14ac:dyDescent="0.3">
      <c r="A16" s="2" t="s">
        <v>66</v>
      </c>
      <c r="B16" s="2" t="s">
        <v>67</v>
      </c>
      <c r="C16" s="2" t="s">
        <v>7</v>
      </c>
      <c r="D16" s="2" t="s">
        <v>68</v>
      </c>
      <c r="E16" s="2" t="s">
        <v>69</v>
      </c>
      <c r="F16" s="2" t="s">
        <v>7</v>
      </c>
      <c r="G16" s="2" t="s">
        <v>7</v>
      </c>
      <c r="H16" s="2">
        <f t="shared" si="0"/>
        <v>2</v>
      </c>
      <c r="I16" s="2">
        <f t="shared" si="1"/>
        <v>0</v>
      </c>
    </row>
    <row r="17" spans="1:9" x14ac:dyDescent="0.3">
      <c r="A17" s="1" t="s">
        <v>71</v>
      </c>
      <c r="B17" s="1" t="s">
        <v>72</v>
      </c>
      <c r="C17" s="1" t="s">
        <v>60</v>
      </c>
      <c r="D17" s="1" t="s">
        <v>70</v>
      </c>
      <c r="E17" s="1" t="s">
        <v>73</v>
      </c>
      <c r="F17" s="1" t="s">
        <v>74</v>
      </c>
      <c r="G17" s="1" t="s">
        <v>42</v>
      </c>
      <c r="H17" s="1">
        <f t="shared" si="0"/>
        <v>4</v>
      </c>
      <c r="I17" s="1">
        <f t="shared" si="1"/>
        <v>1</v>
      </c>
    </row>
    <row r="18" spans="1:9" x14ac:dyDescent="0.3">
      <c r="A18" s="2" t="s">
        <v>75</v>
      </c>
      <c r="B18" s="2" t="s">
        <v>76</v>
      </c>
      <c r="C18" s="2" t="s">
        <v>7</v>
      </c>
      <c r="D18" s="2" t="s">
        <v>57</v>
      </c>
      <c r="E18" s="2" t="s">
        <v>7</v>
      </c>
      <c r="F18" s="2" t="s">
        <v>77</v>
      </c>
      <c r="G18" s="2" t="s">
        <v>7</v>
      </c>
      <c r="H18" s="2">
        <f t="shared" si="0"/>
        <v>2</v>
      </c>
      <c r="I18" s="2">
        <f t="shared" si="1"/>
        <v>0</v>
      </c>
    </row>
    <row r="19" spans="1:9" x14ac:dyDescent="0.3">
      <c r="A19" s="1" t="s">
        <v>78</v>
      </c>
      <c r="B19" s="1" t="s">
        <v>79</v>
      </c>
      <c r="C19" s="1" t="s">
        <v>7</v>
      </c>
      <c r="D19" s="1" t="s">
        <v>7</v>
      </c>
      <c r="E19" s="1" t="s">
        <v>80</v>
      </c>
      <c r="F19" s="1" t="s">
        <v>81</v>
      </c>
      <c r="G19" s="1" t="s">
        <v>16</v>
      </c>
      <c r="H19" s="1">
        <f t="shared" si="0"/>
        <v>3</v>
      </c>
      <c r="I19" s="1">
        <f t="shared" si="1"/>
        <v>0</v>
      </c>
    </row>
    <row r="20" spans="1:9" x14ac:dyDescent="0.3">
      <c r="A20" s="2" t="s">
        <v>82</v>
      </c>
      <c r="B20" s="2" t="s">
        <v>83</v>
      </c>
      <c r="C20" s="2" t="s">
        <v>7</v>
      </c>
      <c r="D20" s="2" t="s">
        <v>84</v>
      </c>
      <c r="E20" s="2" t="s">
        <v>85</v>
      </c>
      <c r="F20" s="2" t="s">
        <v>86</v>
      </c>
      <c r="G20" s="2" t="s">
        <v>7</v>
      </c>
      <c r="H20" s="2">
        <f t="shared" si="0"/>
        <v>3</v>
      </c>
      <c r="I20" s="2">
        <f t="shared" si="1"/>
        <v>0</v>
      </c>
    </row>
    <row r="21" spans="1:9" x14ac:dyDescent="0.3">
      <c r="A21" s="1" t="s">
        <v>87</v>
      </c>
      <c r="B21" s="1" t="s">
        <v>88</v>
      </c>
      <c r="C21" s="1" t="s">
        <v>7</v>
      </c>
      <c r="D21" s="1" t="s">
        <v>89</v>
      </c>
      <c r="E21" s="1" t="s">
        <v>90</v>
      </c>
      <c r="F21" s="1" t="s">
        <v>7</v>
      </c>
      <c r="G21" s="1" t="s">
        <v>7</v>
      </c>
      <c r="H21" s="1">
        <f t="shared" si="0"/>
        <v>2</v>
      </c>
      <c r="I21" s="1">
        <f t="shared" si="1"/>
        <v>0</v>
      </c>
    </row>
    <row r="22" spans="1:9" x14ac:dyDescent="0.3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2" t="s">
        <v>97</v>
      </c>
      <c r="G22" s="2" t="s">
        <v>98</v>
      </c>
      <c r="H22" s="2">
        <f t="shared" si="0"/>
        <v>4</v>
      </c>
      <c r="I22" s="2">
        <f t="shared" si="1"/>
        <v>1</v>
      </c>
    </row>
    <row r="23" spans="1:9" x14ac:dyDescent="0.3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52</v>
      </c>
      <c r="G23" s="1" t="s">
        <v>104</v>
      </c>
      <c r="H23" s="1">
        <f>COUNTIF(D23:G23,"&lt;&gt;NO")</f>
        <v>4</v>
      </c>
      <c r="I23" s="1">
        <f t="shared" si="1"/>
        <v>1</v>
      </c>
    </row>
    <row r="24" spans="1:9" x14ac:dyDescent="0.3">
      <c r="A24" s="2" t="s">
        <v>105</v>
      </c>
      <c r="B24" s="2" t="s">
        <v>106</v>
      </c>
      <c r="C24" s="2" t="s">
        <v>7</v>
      </c>
      <c r="D24" s="2" t="s">
        <v>84</v>
      </c>
      <c r="E24" s="2" t="s">
        <v>7</v>
      </c>
      <c r="F24" s="2" t="s">
        <v>21</v>
      </c>
      <c r="G24" s="2" t="s">
        <v>107</v>
      </c>
      <c r="H24" s="2">
        <f t="shared" si="0"/>
        <v>3</v>
      </c>
      <c r="I24" s="2">
        <f t="shared" si="1"/>
        <v>0</v>
      </c>
    </row>
    <row r="25" spans="1:9" x14ac:dyDescent="0.3">
      <c r="A25" s="1" t="s">
        <v>108</v>
      </c>
      <c r="B25" s="1" t="s">
        <v>109</v>
      </c>
      <c r="C25" s="1" t="s">
        <v>91</v>
      </c>
      <c r="D25" s="1" t="s">
        <v>110</v>
      </c>
      <c r="E25" s="1" t="s">
        <v>46</v>
      </c>
      <c r="F25" s="1" t="s">
        <v>36</v>
      </c>
      <c r="G25" s="1" t="s">
        <v>16</v>
      </c>
      <c r="H25" s="1">
        <f t="shared" si="0"/>
        <v>4</v>
      </c>
      <c r="I25" s="1">
        <f t="shared" si="1"/>
        <v>1</v>
      </c>
    </row>
    <row r="26" spans="1:9" x14ac:dyDescent="0.3">
      <c r="A26" s="2" t="s">
        <v>111</v>
      </c>
      <c r="B26" s="2" t="s">
        <v>112</v>
      </c>
      <c r="C26" s="2" t="s">
        <v>113</v>
      </c>
      <c r="D26" s="2" t="s">
        <v>51</v>
      </c>
      <c r="E26" s="2" t="s">
        <v>80</v>
      </c>
      <c r="F26" s="2" t="s">
        <v>7</v>
      </c>
      <c r="G26" s="2" t="s">
        <v>7</v>
      </c>
      <c r="H26" s="2">
        <f t="shared" si="0"/>
        <v>2</v>
      </c>
      <c r="I26" s="2">
        <f t="shared" si="1"/>
        <v>1</v>
      </c>
    </row>
    <row r="27" spans="1:9" x14ac:dyDescent="0.3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119</v>
      </c>
      <c r="F27" s="1" t="s">
        <v>97</v>
      </c>
      <c r="G27" s="1" t="s">
        <v>7</v>
      </c>
      <c r="H27" s="1">
        <f t="shared" si="0"/>
        <v>3</v>
      </c>
      <c r="I27" s="1">
        <f t="shared" si="1"/>
        <v>1</v>
      </c>
    </row>
    <row r="28" spans="1:9" x14ac:dyDescent="0.3">
      <c r="A28" s="2" t="s">
        <v>120</v>
      </c>
      <c r="B28" s="2" t="s">
        <v>121</v>
      </c>
      <c r="C28" s="2" t="s">
        <v>7</v>
      </c>
      <c r="D28" s="2" t="s">
        <v>122</v>
      </c>
      <c r="E28" s="2" t="s">
        <v>123</v>
      </c>
      <c r="F28" s="2" t="s">
        <v>7</v>
      </c>
      <c r="G28" s="2" t="s">
        <v>7</v>
      </c>
      <c r="H28" s="2">
        <f t="shared" si="0"/>
        <v>2</v>
      </c>
      <c r="I28" s="2">
        <f t="shared" si="1"/>
        <v>0</v>
      </c>
    </row>
    <row r="29" spans="1:9" x14ac:dyDescent="0.3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7</v>
      </c>
      <c r="F29" s="1" t="s">
        <v>97</v>
      </c>
      <c r="G29" s="1" t="s">
        <v>128</v>
      </c>
      <c r="H29" s="1">
        <f t="shared" si="0"/>
        <v>3</v>
      </c>
      <c r="I29" s="1">
        <f t="shared" si="1"/>
        <v>1</v>
      </c>
    </row>
    <row r="30" spans="1:9" x14ac:dyDescent="0.3">
      <c r="A30" s="2" t="s">
        <v>129</v>
      </c>
      <c r="B30" s="2" t="s">
        <v>130</v>
      </c>
      <c r="C30" s="2" t="s">
        <v>131</v>
      </c>
      <c r="D30" s="2" t="s">
        <v>7</v>
      </c>
      <c r="E30" s="2" t="s">
        <v>17</v>
      </c>
      <c r="F30" s="2" t="s">
        <v>24</v>
      </c>
      <c r="G30" s="2" t="s">
        <v>24</v>
      </c>
      <c r="H30" s="2">
        <f t="shared" si="0"/>
        <v>3</v>
      </c>
      <c r="I30" s="2">
        <f t="shared" si="1"/>
        <v>1</v>
      </c>
    </row>
    <row r="31" spans="1:9" x14ac:dyDescent="0.3">
      <c r="A31" s="1" t="s">
        <v>132</v>
      </c>
      <c r="B31" s="1" t="s">
        <v>133</v>
      </c>
      <c r="C31" s="1" t="s">
        <v>114</v>
      </c>
      <c r="D31" s="1" t="s">
        <v>7</v>
      </c>
      <c r="E31" s="1" t="s">
        <v>7</v>
      </c>
      <c r="F31" s="1" t="s">
        <v>134</v>
      </c>
      <c r="G31" s="1" t="s">
        <v>7</v>
      </c>
      <c r="H31" s="1">
        <f t="shared" si="0"/>
        <v>1</v>
      </c>
      <c r="I31" s="1">
        <f t="shared" si="1"/>
        <v>1</v>
      </c>
    </row>
    <row r="32" spans="1:9" x14ac:dyDescent="0.3">
      <c r="A32" s="2" t="s">
        <v>135</v>
      </c>
      <c r="B32" s="2" t="s">
        <v>136</v>
      </c>
      <c r="C32" s="2" t="s">
        <v>137</v>
      </c>
      <c r="D32" s="2" t="s">
        <v>7</v>
      </c>
      <c r="E32" s="2" t="s">
        <v>69</v>
      </c>
      <c r="F32" s="2" t="s">
        <v>7</v>
      </c>
      <c r="G32" s="2" t="s">
        <v>7</v>
      </c>
      <c r="H32" s="2">
        <f t="shared" si="0"/>
        <v>1</v>
      </c>
      <c r="I32" s="2">
        <f t="shared" si="1"/>
        <v>1</v>
      </c>
    </row>
    <row r="33" spans="1:9" x14ac:dyDescent="0.3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85</v>
      </c>
      <c r="F33" s="1" t="s">
        <v>10</v>
      </c>
      <c r="G33" s="1" t="s">
        <v>142</v>
      </c>
      <c r="H33" s="1">
        <f t="shared" si="0"/>
        <v>4</v>
      </c>
      <c r="I33" s="1">
        <f t="shared" si="1"/>
        <v>1</v>
      </c>
    </row>
    <row r="34" spans="1:9" x14ac:dyDescent="0.3">
      <c r="A34" s="2" t="s">
        <v>143</v>
      </c>
      <c r="B34" s="2" t="s">
        <v>144</v>
      </c>
      <c r="C34" s="2" t="s">
        <v>94</v>
      </c>
      <c r="D34" s="2" t="s">
        <v>145</v>
      </c>
      <c r="E34" s="2" t="s">
        <v>146</v>
      </c>
      <c r="F34" s="2" t="s">
        <v>7</v>
      </c>
      <c r="G34" s="2" t="s">
        <v>7</v>
      </c>
      <c r="H34" s="2">
        <f t="shared" ref="H34:H65" si="2">COUNTIF(D34:G34,"&lt;&gt;NO")</f>
        <v>2</v>
      </c>
      <c r="I34" s="2">
        <f t="shared" ref="I34:I65" si="3">COUNTIF(C34,"&lt;&gt;NO")</f>
        <v>1</v>
      </c>
    </row>
    <row r="35" spans="1:9" x14ac:dyDescent="0.3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151</v>
      </c>
      <c r="F35" s="1" t="s">
        <v>52</v>
      </c>
      <c r="G35" s="1" t="s">
        <v>152</v>
      </c>
      <c r="H35" s="1">
        <f t="shared" si="2"/>
        <v>4</v>
      </c>
      <c r="I35" s="1">
        <f t="shared" si="3"/>
        <v>1</v>
      </c>
    </row>
    <row r="36" spans="1:9" x14ac:dyDescent="0.3">
      <c r="A36" s="2" t="s">
        <v>153</v>
      </c>
      <c r="B36" s="2" t="s">
        <v>154</v>
      </c>
      <c r="C36" s="2" t="s">
        <v>7</v>
      </c>
      <c r="D36" s="2" t="s">
        <v>155</v>
      </c>
      <c r="E36" s="2" t="s">
        <v>46</v>
      </c>
      <c r="F36" s="2" t="s">
        <v>7</v>
      </c>
      <c r="G36" s="2" t="s">
        <v>7</v>
      </c>
      <c r="H36" s="2">
        <f t="shared" si="2"/>
        <v>2</v>
      </c>
      <c r="I36" s="2">
        <f t="shared" si="3"/>
        <v>0</v>
      </c>
    </row>
    <row r="37" spans="1:9" x14ac:dyDescent="0.3">
      <c r="A37" s="1" t="s">
        <v>156</v>
      </c>
      <c r="B37" s="1" t="s">
        <v>157</v>
      </c>
      <c r="C37" s="1" t="s">
        <v>158</v>
      </c>
      <c r="D37" s="1" t="s">
        <v>7</v>
      </c>
      <c r="E37" s="1" t="s">
        <v>7</v>
      </c>
      <c r="F37" s="1" t="s">
        <v>159</v>
      </c>
      <c r="G37" s="1" t="s">
        <v>160</v>
      </c>
      <c r="H37" s="1">
        <f t="shared" si="2"/>
        <v>2</v>
      </c>
      <c r="I37" s="1">
        <f t="shared" si="3"/>
        <v>1</v>
      </c>
    </row>
    <row r="38" spans="1:9" x14ac:dyDescent="0.3">
      <c r="A38" s="2" t="s">
        <v>161</v>
      </c>
      <c r="B38" s="2" t="s">
        <v>316</v>
      </c>
      <c r="C38" s="2" t="s">
        <v>140</v>
      </c>
      <c r="D38" s="2" t="s">
        <v>122</v>
      </c>
      <c r="E38" s="2" t="s">
        <v>162</v>
      </c>
      <c r="F38" s="2" t="s">
        <v>21</v>
      </c>
      <c r="G38" s="2" t="s">
        <v>104</v>
      </c>
      <c r="H38" s="2">
        <f t="shared" si="2"/>
        <v>4</v>
      </c>
      <c r="I38" s="2">
        <f t="shared" si="3"/>
        <v>1</v>
      </c>
    </row>
    <row r="39" spans="1:9" x14ac:dyDescent="0.3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80</v>
      </c>
      <c r="F39" s="1" t="s">
        <v>81</v>
      </c>
      <c r="G39" s="1" t="s">
        <v>42</v>
      </c>
      <c r="H39" s="1">
        <f t="shared" si="2"/>
        <v>4</v>
      </c>
      <c r="I39" s="1">
        <f t="shared" si="3"/>
        <v>1</v>
      </c>
    </row>
    <row r="40" spans="1:9" x14ac:dyDescent="0.3">
      <c r="A40" s="2" t="s">
        <v>167</v>
      </c>
      <c r="B40" s="2" t="s">
        <v>168</v>
      </c>
      <c r="C40" s="2" t="s">
        <v>169</v>
      </c>
      <c r="D40" s="2" t="s">
        <v>141</v>
      </c>
      <c r="E40" s="2" t="s">
        <v>170</v>
      </c>
      <c r="F40" s="2" t="s">
        <v>10</v>
      </c>
      <c r="G40" s="2" t="s">
        <v>142</v>
      </c>
      <c r="H40" s="2">
        <f t="shared" si="2"/>
        <v>4</v>
      </c>
      <c r="I40" s="2">
        <f t="shared" si="3"/>
        <v>1</v>
      </c>
    </row>
    <row r="41" spans="1:9" x14ac:dyDescent="0.3">
      <c r="A41" s="1" t="s">
        <v>171</v>
      </c>
      <c r="B41" s="1" t="s">
        <v>172</v>
      </c>
      <c r="C41" s="1" t="s">
        <v>140</v>
      </c>
      <c r="D41" s="1" t="s">
        <v>102</v>
      </c>
      <c r="E41" s="1" t="s">
        <v>162</v>
      </c>
      <c r="F41" s="1" t="s">
        <v>21</v>
      </c>
      <c r="G41" s="1" t="s">
        <v>7</v>
      </c>
      <c r="H41" s="1">
        <f t="shared" si="2"/>
        <v>3</v>
      </c>
      <c r="I41" s="1">
        <f t="shared" si="3"/>
        <v>1</v>
      </c>
    </row>
    <row r="42" spans="1:9" x14ac:dyDescent="0.3">
      <c r="A42" s="2" t="s">
        <v>173</v>
      </c>
      <c r="B42" s="2" t="s">
        <v>174</v>
      </c>
      <c r="C42" s="2" t="s">
        <v>140</v>
      </c>
      <c r="D42" s="2" t="s">
        <v>122</v>
      </c>
      <c r="E42" s="2" t="s">
        <v>162</v>
      </c>
      <c r="F42" s="2" t="s">
        <v>21</v>
      </c>
      <c r="G42" s="2" t="s">
        <v>104</v>
      </c>
      <c r="H42" s="2">
        <f t="shared" si="2"/>
        <v>4</v>
      </c>
      <c r="I42" s="2">
        <f t="shared" si="3"/>
        <v>1</v>
      </c>
    </row>
    <row r="43" spans="1:9" x14ac:dyDescent="0.3">
      <c r="A43" s="1" t="s">
        <v>175</v>
      </c>
      <c r="B43" s="1" t="s">
        <v>176</v>
      </c>
      <c r="C43" s="1" t="s">
        <v>177</v>
      </c>
      <c r="D43" s="1" t="s">
        <v>178</v>
      </c>
      <c r="E43" s="1" t="s">
        <v>179</v>
      </c>
      <c r="F43" s="1" t="s">
        <v>180</v>
      </c>
      <c r="G43" s="1" t="s">
        <v>104</v>
      </c>
      <c r="H43" s="1">
        <f t="shared" si="2"/>
        <v>4</v>
      </c>
      <c r="I43" s="1">
        <f t="shared" si="3"/>
        <v>1</v>
      </c>
    </row>
    <row r="44" spans="1:9" x14ac:dyDescent="0.3">
      <c r="A44" s="2" t="s">
        <v>181</v>
      </c>
      <c r="B44" s="2" t="s">
        <v>182</v>
      </c>
      <c r="C44" s="2" t="s">
        <v>91</v>
      </c>
      <c r="D44" s="2" t="s">
        <v>183</v>
      </c>
      <c r="E44" s="2" t="s">
        <v>184</v>
      </c>
      <c r="F44" s="2" t="s">
        <v>7</v>
      </c>
      <c r="G44" s="2" t="s">
        <v>7</v>
      </c>
      <c r="H44" s="2">
        <f t="shared" si="2"/>
        <v>2</v>
      </c>
      <c r="I44" s="2">
        <f t="shared" si="3"/>
        <v>1</v>
      </c>
    </row>
    <row r="45" spans="1:9" x14ac:dyDescent="0.3">
      <c r="A45" s="1" t="s">
        <v>185</v>
      </c>
      <c r="B45" s="1" t="s">
        <v>186</v>
      </c>
      <c r="C45" s="1" t="s">
        <v>169</v>
      </c>
      <c r="D45" s="1" t="s">
        <v>187</v>
      </c>
      <c r="E45" s="1" t="s">
        <v>85</v>
      </c>
      <c r="F45" s="1" t="s">
        <v>188</v>
      </c>
      <c r="G45" s="1" t="s">
        <v>189</v>
      </c>
      <c r="H45" s="1">
        <f t="shared" si="2"/>
        <v>4</v>
      </c>
      <c r="I45" s="1">
        <f t="shared" si="3"/>
        <v>1</v>
      </c>
    </row>
    <row r="46" spans="1:9" x14ac:dyDescent="0.3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184</v>
      </c>
      <c r="F46" s="2" t="s">
        <v>32</v>
      </c>
      <c r="G46" s="2" t="s">
        <v>7</v>
      </c>
      <c r="H46" s="2">
        <f t="shared" si="2"/>
        <v>3</v>
      </c>
      <c r="I46" s="2">
        <f t="shared" si="3"/>
        <v>1</v>
      </c>
    </row>
    <row r="47" spans="1:9" x14ac:dyDescent="0.3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199</v>
      </c>
      <c r="F47" s="1" t="s">
        <v>7</v>
      </c>
      <c r="G47" s="1" t="s">
        <v>11</v>
      </c>
      <c r="H47" s="1">
        <f t="shared" si="2"/>
        <v>3</v>
      </c>
      <c r="I47" s="1">
        <f t="shared" si="3"/>
        <v>1</v>
      </c>
    </row>
    <row r="48" spans="1:9" x14ac:dyDescent="0.3">
      <c r="A48" s="2" t="s">
        <v>200</v>
      </c>
      <c r="B48" s="2" t="s">
        <v>201</v>
      </c>
      <c r="C48" s="2" t="s">
        <v>202</v>
      </c>
      <c r="D48" s="2" t="s">
        <v>7</v>
      </c>
      <c r="E48" s="2" t="s">
        <v>203</v>
      </c>
      <c r="F48" s="2" t="s">
        <v>86</v>
      </c>
      <c r="G48" s="2" t="s">
        <v>204</v>
      </c>
      <c r="H48" s="2">
        <f t="shared" si="2"/>
        <v>3</v>
      </c>
      <c r="I48" s="2">
        <f t="shared" si="3"/>
        <v>1</v>
      </c>
    </row>
    <row r="49" spans="1:9" x14ac:dyDescent="0.3">
      <c r="A49" s="1" t="s">
        <v>206</v>
      </c>
      <c r="B49" s="1" t="s">
        <v>207</v>
      </c>
      <c r="C49" s="1" t="s">
        <v>137</v>
      </c>
      <c r="D49" s="1" t="s">
        <v>208</v>
      </c>
      <c r="E49" s="1" t="s">
        <v>209</v>
      </c>
      <c r="F49" s="1" t="s">
        <v>180</v>
      </c>
      <c r="G49" s="1" t="s">
        <v>204</v>
      </c>
      <c r="H49" s="1">
        <f t="shared" si="2"/>
        <v>4</v>
      </c>
      <c r="I49" s="1">
        <f t="shared" si="3"/>
        <v>1</v>
      </c>
    </row>
    <row r="50" spans="1:9" x14ac:dyDescent="0.3">
      <c r="A50" s="2" t="s">
        <v>210</v>
      </c>
      <c r="B50" s="2" t="s">
        <v>211</v>
      </c>
      <c r="C50" s="2" t="s">
        <v>194</v>
      </c>
      <c r="D50" s="2" t="s">
        <v>7</v>
      </c>
      <c r="E50" s="2" t="s">
        <v>7</v>
      </c>
      <c r="F50" s="2" t="s">
        <v>159</v>
      </c>
      <c r="G50" s="2" t="s">
        <v>160</v>
      </c>
      <c r="H50" s="2">
        <f t="shared" si="2"/>
        <v>2</v>
      </c>
      <c r="I50" s="2">
        <f t="shared" si="3"/>
        <v>1</v>
      </c>
    </row>
    <row r="51" spans="1:9" x14ac:dyDescent="0.3">
      <c r="A51" s="1" t="s">
        <v>212</v>
      </c>
      <c r="B51" s="1" t="s">
        <v>213</v>
      </c>
      <c r="C51" s="1" t="s">
        <v>194</v>
      </c>
      <c r="D51" s="1" t="s">
        <v>7</v>
      </c>
      <c r="E51" s="1" t="s">
        <v>7</v>
      </c>
      <c r="F51" s="1" t="s">
        <v>159</v>
      </c>
      <c r="G51" s="1" t="s">
        <v>160</v>
      </c>
      <c r="H51" s="1">
        <f t="shared" si="2"/>
        <v>2</v>
      </c>
      <c r="I51" s="1">
        <f t="shared" si="3"/>
        <v>1</v>
      </c>
    </row>
    <row r="52" spans="1:9" x14ac:dyDescent="0.3">
      <c r="A52" s="2" t="s">
        <v>214</v>
      </c>
      <c r="B52" s="2" t="s">
        <v>215</v>
      </c>
      <c r="C52" s="2" t="s">
        <v>216</v>
      </c>
      <c r="D52" s="2" t="s">
        <v>57</v>
      </c>
      <c r="E52" s="2" t="s">
        <v>217</v>
      </c>
      <c r="F52" s="2" t="s">
        <v>41</v>
      </c>
      <c r="G52" s="2" t="s">
        <v>152</v>
      </c>
      <c r="H52" s="2">
        <f t="shared" si="2"/>
        <v>4</v>
      </c>
      <c r="I52" s="2">
        <f t="shared" si="3"/>
        <v>1</v>
      </c>
    </row>
    <row r="53" spans="1:9" x14ac:dyDescent="0.3">
      <c r="A53" s="1" t="s">
        <v>218</v>
      </c>
      <c r="B53" s="1" t="s">
        <v>219</v>
      </c>
      <c r="C53" s="1" t="s">
        <v>220</v>
      </c>
      <c r="D53" s="1" t="s">
        <v>7</v>
      </c>
      <c r="E53" s="1" t="s">
        <v>221</v>
      </c>
      <c r="F53" s="1" t="s">
        <v>188</v>
      </c>
      <c r="G53" s="1" t="s">
        <v>152</v>
      </c>
      <c r="H53" s="1">
        <f t="shared" si="2"/>
        <v>3</v>
      </c>
      <c r="I53" s="1">
        <f t="shared" si="3"/>
        <v>1</v>
      </c>
    </row>
    <row r="54" spans="1:9" x14ac:dyDescent="0.3">
      <c r="A54" s="2" t="s">
        <v>222</v>
      </c>
      <c r="B54" s="2" t="s">
        <v>223</v>
      </c>
      <c r="C54" s="2" t="s">
        <v>7</v>
      </c>
      <c r="D54" s="2" t="s">
        <v>7</v>
      </c>
      <c r="E54" s="2" t="s">
        <v>224</v>
      </c>
      <c r="F54" s="2" t="s">
        <v>225</v>
      </c>
      <c r="G54" s="2" t="s">
        <v>7</v>
      </c>
      <c r="H54" s="2">
        <f t="shared" si="2"/>
        <v>2</v>
      </c>
      <c r="I54" s="2">
        <f t="shared" si="3"/>
        <v>0</v>
      </c>
    </row>
    <row r="55" spans="1:9" x14ac:dyDescent="0.3">
      <c r="A55" s="1" t="s">
        <v>226</v>
      </c>
      <c r="B55" s="1" t="s">
        <v>227</v>
      </c>
      <c r="C55" s="1" t="s">
        <v>205</v>
      </c>
      <c r="D55" s="1" t="s">
        <v>228</v>
      </c>
      <c r="E55" s="1" t="s">
        <v>229</v>
      </c>
      <c r="F55" s="1" t="s">
        <v>230</v>
      </c>
      <c r="G55" s="1" t="s">
        <v>7</v>
      </c>
      <c r="H55" s="1">
        <f t="shared" si="2"/>
        <v>3</v>
      </c>
      <c r="I55" s="1">
        <f t="shared" si="3"/>
        <v>1</v>
      </c>
    </row>
    <row r="56" spans="1:9" x14ac:dyDescent="0.3">
      <c r="A56" s="2" t="s">
        <v>231</v>
      </c>
      <c r="B56" s="2" t="s">
        <v>232</v>
      </c>
      <c r="C56" s="2" t="s">
        <v>233</v>
      </c>
      <c r="D56" s="2" t="s">
        <v>122</v>
      </c>
      <c r="E56" s="2" t="s">
        <v>151</v>
      </c>
      <c r="F56" s="2" t="s">
        <v>21</v>
      </c>
      <c r="G56" s="2" t="s">
        <v>234</v>
      </c>
      <c r="H56" s="2">
        <f t="shared" si="2"/>
        <v>4</v>
      </c>
      <c r="I56" s="2">
        <f t="shared" si="3"/>
        <v>1</v>
      </c>
    </row>
    <row r="57" spans="1:9" x14ac:dyDescent="0.3">
      <c r="A57" s="1" t="s">
        <v>235</v>
      </c>
      <c r="B57" s="1" t="s">
        <v>236</v>
      </c>
      <c r="C57" s="1" t="s">
        <v>7</v>
      </c>
      <c r="D57" s="1" t="s">
        <v>237</v>
      </c>
      <c r="E57" s="1" t="s">
        <v>69</v>
      </c>
      <c r="F57" s="1" t="s">
        <v>7</v>
      </c>
      <c r="G57" s="1" t="s">
        <v>7</v>
      </c>
      <c r="H57" s="1">
        <f t="shared" si="2"/>
        <v>2</v>
      </c>
      <c r="I57" s="1">
        <f t="shared" si="3"/>
        <v>0</v>
      </c>
    </row>
    <row r="58" spans="1:9" x14ac:dyDescent="0.3">
      <c r="A58" s="2" t="s">
        <v>238</v>
      </c>
      <c r="B58" s="2" t="s">
        <v>239</v>
      </c>
      <c r="C58" s="2" t="s">
        <v>91</v>
      </c>
      <c r="D58" s="2" t="s">
        <v>7</v>
      </c>
      <c r="E58" s="2" t="s">
        <v>240</v>
      </c>
      <c r="F58" s="2" t="s">
        <v>188</v>
      </c>
      <c r="G58" s="2" t="s">
        <v>241</v>
      </c>
      <c r="H58" s="2">
        <f t="shared" si="2"/>
        <v>3</v>
      </c>
      <c r="I58" s="2">
        <f t="shared" si="3"/>
        <v>1</v>
      </c>
    </row>
    <row r="59" spans="1:9" x14ac:dyDescent="0.3">
      <c r="A59" s="1" t="s">
        <v>242</v>
      </c>
      <c r="B59" s="1" t="s">
        <v>243</v>
      </c>
      <c r="C59" s="1" t="s">
        <v>169</v>
      </c>
      <c r="D59" s="1" t="s">
        <v>187</v>
      </c>
      <c r="E59" s="1" t="s">
        <v>80</v>
      </c>
      <c r="F59" s="1" t="s">
        <v>188</v>
      </c>
      <c r="G59" s="1" t="s">
        <v>244</v>
      </c>
      <c r="H59" s="1">
        <f t="shared" si="2"/>
        <v>4</v>
      </c>
      <c r="I59" s="1">
        <f t="shared" si="3"/>
        <v>1</v>
      </c>
    </row>
    <row r="60" spans="1:9" x14ac:dyDescent="0.3">
      <c r="A60" s="2" t="s">
        <v>245</v>
      </c>
      <c r="B60" s="2" t="s">
        <v>246</v>
      </c>
      <c r="C60" s="2" t="s">
        <v>126</v>
      </c>
      <c r="D60" s="2" t="s">
        <v>150</v>
      </c>
      <c r="E60" s="2" t="s">
        <v>96</v>
      </c>
      <c r="F60" s="2" t="s">
        <v>230</v>
      </c>
      <c r="G60" s="2" t="s">
        <v>160</v>
      </c>
      <c r="H60" s="2">
        <f t="shared" si="2"/>
        <v>4</v>
      </c>
      <c r="I60" s="2">
        <f t="shared" si="3"/>
        <v>1</v>
      </c>
    </row>
    <row r="61" spans="1:9" x14ac:dyDescent="0.3">
      <c r="A61" s="1" t="s">
        <v>247</v>
      </c>
      <c r="B61" s="1" t="s">
        <v>248</v>
      </c>
      <c r="C61" s="1" t="s">
        <v>205</v>
      </c>
      <c r="D61" s="1" t="s">
        <v>228</v>
      </c>
      <c r="E61" s="1" t="s">
        <v>46</v>
      </c>
      <c r="F61" s="1" t="s">
        <v>230</v>
      </c>
      <c r="G61" s="1" t="s">
        <v>7</v>
      </c>
      <c r="H61" s="1">
        <f t="shared" si="2"/>
        <v>3</v>
      </c>
      <c r="I61" s="1">
        <f t="shared" si="3"/>
        <v>1</v>
      </c>
    </row>
    <row r="62" spans="1:9" x14ac:dyDescent="0.3">
      <c r="A62" s="2" t="s">
        <v>249</v>
      </c>
      <c r="B62" s="2" t="s">
        <v>250</v>
      </c>
      <c r="C62" s="2" t="s">
        <v>251</v>
      </c>
      <c r="D62" s="2" t="s">
        <v>187</v>
      </c>
      <c r="E62" s="2" t="s">
        <v>252</v>
      </c>
      <c r="F62" s="2" t="s">
        <v>188</v>
      </c>
      <c r="G62" s="2" t="s">
        <v>160</v>
      </c>
      <c r="H62" s="2">
        <f t="shared" si="2"/>
        <v>4</v>
      </c>
      <c r="I62" s="2">
        <f t="shared" si="3"/>
        <v>1</v>
      </c>
    </row>
    <row r="63" spans="1:9" x14ac:dyDescent="0.3">
      <c r="A63" s="1" t="s">
        <v>253</v>
      </c>
      <c r="B63" s="1" t="s">
        <v>254</v>
      </c>
      <c r="C63" s="1" t="s">
        <v>169</v>
      </c>
      <c r="D63" s="1" t="s">
        <v>150</v>
      </c>
      <c r="E63" s="1" t="s">
        <v>170</v>
      </c>
      <c r="F63" s="1" t="s">
        <v>7</v>
      </c>
      <c r="G63" s="1" t="s">
        <v>255</v>
      </c>
      <c r="H63" s="1">
        <f t="shared" si="2"/>
        <v>3</v>
      </c>
      <c r="I63" s="1">
        <f t="shared" si="3"/>
        <v>1</v>
      </c>
    </row>
    <row r="64" spans="1:9" x14ac:dyDescent="0.3">
      <c r="A64" s="2" t="s">
        <v>256</v>
      </c>
      <c r="B64" s="2" t="s">
        <v>257</v>
      </c>
      <c r="C64" s="2" t="s">
        <v>258</v>
      </c>
      <c r="D64" s="2" t="s">
        <v>122</v>
      </c>
      <c r="E64" s="2" t="s">
        <v>96</v>
      </c>
      <c r="F64" s="2" t="s">
        <v>7</v>
      </c>
      <c r="G64" s="2" t="s">
        <v>259</v>
      </c>
      <c r="H64" s="2">
        <f t="shared" si="2"/>
        <v>3</v>
      </c>
      <c r="I64" s="2">
        <f t="shared" si="3"/>
        <v>1</v>
      </c>
    </row>
    <row r="65" spans="1:9" x14ac:dyDescent="0.3">
      <c r="A65" s="1" t="s">
        <v>260</v>
      </c>
      <c r="B65" s="1" t="s">
        <v>261</v>
      </c>
      <c r="C65" s="1" t="s">
        <v>7</v>
      </c>
      <c r="D65" s="1" t="s">
        <v>262</v>
      </c>
      <c r="E65" s="1" t="s">
        <v>179</v>
      </c>
      <c r="F65" s="1" t="s">
        <v>36</v>
      </c>
      <c r="G65" s="1" t="s">
        <v>16</v>
      </c>
      <c r="H65" s="1">
        <f t="shared" si="2"/>
        <v>4</v>
      </c>
      <c r="I65" s="1">
        <f t="shared" si="3"/>
        <v>0</v>
      </c>
    </row>
    <row r="66" spans="1:9" x14ac:dyDescent="0.3">
      <c r="A66" s="2" t="s">
        <v>263</v>
      </c>
      <c r="B66" s="2" t="s">
        <v>264</v>
      </c>
      <c r="C66" s="2" t="s">
        <v>265</v>
      </c>
      <c r="D66" s="2" t="s">
        <v>7</v>
      </c>
      <c r="E66" s="2" t="s">
        <v>28</v>
      </c>
      <c r="F66" s="2" t="s">
        <v>7</v>
      </c>
      <c r="G66" s="2" t="s">
        <v>16</v>
      </c>
      <c r="H66" s="2">
        <f t="shared" ref="H66:H97" si="4">COUNTIF(D66:G66,"&lt;&gt;NO")</f>
        <v>2</v>
      </c>
      <c r="I66" s="2">
        <f t="shared" ref="I66:I80" si="5">COUNTIF(C66,"&lt;&gt;NO")</f>
        <v>1</v>
      </c>
    </row>
    <row r="67" spans="1:9" x14ac:dyDescent="0.3">
      <c r="A67" s="1" t="s">
        <v>266</v>
      </c>
      <c r="B67" s="1" t="s">
        <v>267</v>
      </c>
      <c r="C67" s="1" t="s">
        <v>126</v>
      </c>
      <c r="D67" s="1" t="s">
        <v>268</v>
      </c>
      <c r="E67" s="1" t="s">
        <v>269</v>
      </c>
      <c r="F67" s="1" t="s">
        <v>41</v>
      </c>
      <c r="G67" s="1" t="s">
        <v>7</v>
      </c>
      <c r="H67" s="1">
        <f t="shared" si="4"/>
        <v>3</v>
      </c>
      <c r="I67" s="1">
        <f t="shared" si="5"/>
        <v>1</v>
      </c>
    </row>
    <row r="68" spans="1:9" x14ac:dyDescent="0.3">
      <c r="A68" s="2" t="s">
        <v>270</v>
      </c>
      <c r="B68" s="2" t="s">
        <v>271</v>
      </c>
      <c r="C68" s="2" t="s">
        <v>7</v>
      </c>
      <c r="D68" s="2" t="s">
        <v>272</v>
      </c>
      <c r="E68" s="2" t="s">
        <v>273</v>
      </c>
      <c r="F68" s="2" t="s">
        <v>274</v>
      </c>
      <c r="G68" s="2" t="s">
        <v>7</v>
      </c>
      <c r="H68" s="2">
        <f t="shared" si="4"/>
        <v>3</v>
      </c>
      <c r="I68" s="2">
        <f t="shared" si="5"/>
        <v>0</v>
      </c>
    </row>
    <row r="69" spans="1:9" x14ac:dyDescent="0.3">
      <c r="A69" s="1" t="s">
        <v>275</v>
      </c>
      <c r="B69" s="1" t="s">
        <v>276</v>
      </c>
      <c r="C69" s="1" t="s">
        <v>277</v>
      </c>
      <c r="D69" s="1" t="s">
        <v>278</v>
      </c>
      <c r="E69" s="1" t="s">
        <v>279</v>
      </c>
      <c r="F69" s="1" t="s">
        <v>15</v>
      </c>
      <c r="G69" s="1" t="s">
        <v>74</v>
      </c>
      <c r="H69" s="1">
        <f t="shared" si="4"/>
        <v>4</v>
      </c>
      <c r="I69" s="1">
        <f t="shared" si="5"/>
        <v>1</v>
      </c>
    </row>
    <row r="70" spans="1:9" x14ac:dyDescent="0.3">
      <c r="A70" s="2" t="s">
        <v>280</v>
      </c>
      <c r="B70" s="2" t="s">
        <v>281</v>
      </c>
      <c r="C70" s="2" t="s">
        <v>282</v>
      </c>
      <c r="D70" s="2" t="s">
        <v>278</v>
      </c>
      <c r="E70" s="2" t="s">
        <v>279</v>
      </c>
      <c r="F70" s="2" t="s">
        <v>283</v>
      </c>
      <c r="G70" s="2" t="s">
        <v>42</v>
      </c>
      <c r="H70" s="2">
        <f t="shared" si="4"/>
        <v>4</v>
      </c>
      <c r="I70" s="2">
        <f t="shared" si="5"/>
        <v>1</v>
      </c>
    </row>
    <row r="71" spans="1:9" x14ac:dyDescent="0.3">
      <c r="A71" s="1" t="s">
        <v>284</v>
      </c>
      <c r="B71" s="1" t="s">
        <v>285</v>
      </c>
      <c r="C71" s="1" t="s">
        <v>233</v>
      </c>
      <c r="D71" s="1" t="s">
        <v>286</v>
      </c>
      <c r="E71" s="1" t="s">
        <v>273</v>
      </c>
      <c r="F71" s="1" t="s">
        <v>7</v>
      </c>
      <c r="G71" s="1" t="s">
        <v>7</v>
      </c>
      <c r="H71" s="1">
        <f t="shared" si="4"/>
        <v>2</v>
      </c>
      <c r="I71" s="1">
        <f t="shared" si="5"/>
        <v>1</v>
      </c>
    </row>
    <row r="72" spans="1:9" x14ac:dyDescent="0.3">
      <c r="A72" s="2" t="s">
        <v>287</v>
      </c>
      <c r="B72" s="2" t="s">
        <v>288</v>
      </c>
      <c r="C72" s="2" t="s">
        <v>60</v>
      </c>
      <c r="D72" s="2" t="s">
        <v>57</v>
      </c>
      <c r="E72" s="2" t="s">
        <v>179</v>
      </c>
      <c r="F72" s="2" t="s">
        <v>7</v>
      </c>
      <c r="G72" s="2" t="s">
        <v>74</v>
      </c>
      <c r="H72" s="2">
        <f t="shared" si="4"/>
        <v>3</v>
      </c>
      <c r="I72" s="2">
        <f t="shared" si="5"/>
        <v>1</v>
      </c>
    </row>
    <row r="73" spans="1:9" x14ac:dyDescent="0.3">
      <c r="A73" s="1" t="s">
        <v>289</v>
      </c>
      <c r="B73" s="1" t="s">
        <v>290</v>
      </c>
      <c r="C73" s="1" t="s">
        <v>7</v>
      </c>
      <c r="D73" s="1" t="s">
        <v>278</v>
      </c>
      <c r="E73" s="1" t="s">
        <v>217</v>
      </c>
      <c r="F73" s="1" t="s">
        <v>32</v>
      </c>
      <c r="G73" s="1" t="s">
        <v>7</v>
      </c>
      <c r="H73" s="1">
        <f t="shared" si="4"/>
        <v>3</v>
      </c>
      <c r="I73" s="1">
        <f t="shared" si="5"/>
        <v>0</v>
      </c>
    </row>
    <row r="74" spans="1:9" x14ac:dyDescent="0.3">
      <c r="A74" s="2" t="s">
        <v>291</v>
      </c>
      <c r="B74" s="2" t="s">
        <v>292</v>
      </c>
      <c r="C74" s="2" t="s">
        <v>7</v>
      </c>
      <c r="D74" s="2" t="s">
        <v>84</v>
      </c>
      <c r="E74" s="2" t="s">
        <v>31</v>
      </c>
      <c r="F74" s="2" t="s">
        <v>32</v>
      </c>
      <c r="G74" s="2" t="s">
        <v>7</v>
      </c>
      <c r="H74" s="2">
        <f t="shared" si="4"/>
        <v>3</v>
      </c>
      <c r="I74" s="2">
        <f t="shared" si="5"/>
        <v>0</v>
      </c>
    </row>
    <row r="75" spans="1:9" x14ac:dyDescent="0.3">
      <c r="A75" s="1" t="s">
        <v>293</v>
      </c>
      <c r="B75" s="1" t="s">
        <v>294</v>
      </c>
      <c r="C75" s="1" t="s">
        <v>295</v>
      </c>
      <c r="D75" s="1" t="s">
        <v>296</v>
      </c>
      <c r="E75" s="1" t="s">
        <v>28</v>
      </c>
      <c r="F75" s="1" t="s">
        <v>7</v>
      </c>
      <c r="G75" s="1" t="s">
        <v>7</v>
      </c>
      <c r="H75" s="1">
        <f t="shared" si="4"/>
        <v>2</v>
      </c>
      <c r="I75" s="1">
        <f t="shared" si="5"/>
        <v>1</v>
      </c>
    </row>
    <row r="76" spans="1:9" x14ac:dyDescent="0.3">
      <c r="A76" s="2" t="s">
        <v>297</v>
      </c>
      <c r="B76" s="2" t="s">
        <v>298</v>
      </c>
      <c r="C76" s="2" t="s">
        <v>299</v>
      </c>
      <c r="D76" s="2" t="s">
        <v>300</v>
      </c>
      <c r="E76" s="2" t="s">
        <v>301</v>
      </c>
      <c r="F76" s="2" t="s">
        <v>7</v>
      </c>
      <c r="G76" s="2" t="s">
        <v>7</v>
      </c>
      <c r="H76" s="2">
        <f t="shared" si="4"/>
        <v>2</v>
      </c>
      <c r="I76" s="2">
        <f t="shared" si="5"/>
        <v>1</v>
      </c>
    </row>
    <row r="77" spans="1:9" x14ac:dyDescent="0.3">
      <c r="A77" s="1" t="s">
        <v>302</v>
      </c>
      <c r="B77" s="1" t="s">
        <v>303</v>
      </c>
      <c r="C77" s="1" t="s">
        <v>304</v>
      </c>
      <c r="D77" s="1" t="s">
        <v>278</v>
      </c>
      <c r="E77" s="1" t="s">
        <v>301</v>
      </c>
      <c r="F77" s="1" t="s">
        <v>7</v>
      </c>
      <c r="G77" s="1" t="s">
        <v>7</v>
      </c>
      <c r="H77" s="1">
        <f t="shared" si="4"/>
        <v>2</v>
      </c>
      <c r="I77" s="1">
        <f t="shared" si="5"/>
        <v>1</v>
      </c>
    </row>
    <row r="78" spans="1:9" x14ac:dyDescent="0.3">
      <c r="A78" s="2" t="s">
        <v>305</v>
      </c>
      <c r="B78" s="2" t="s">
        <v>306</v>
      </c>
      <c r="C78" s="2" t="s">
        <v>307</v>
      </c>
      <c r="D78" s="2" t="s">
        <v>313</v>
      </c>
      <c r="E78" s="2" t="s">
        <v>301</v>
      </c>
      <c r="F78" s="2" t="s">
        <v>7</v>
      </c>
      <c r="G78" s="2" t="s">
        <v>7</v>
      </c>
      <c r="H78" s="2">
        <f t="shared" si="4"/>
        <v>2</v>
      </c>
      <c r="I78" s="2">
        <f t="shared" si="5"/>
        <v>1</v>
      </c>
    </row>
    <row r="79" spans="1:9" x14ac:dyDescent="0.3">
      <c r="A79" s="1" t="s">
        <v>308</v>
      </c>
      <c r="B79" s="1" t="s">
        <v>309</v>
      </c>
      <c r="C79" s="1" t="s">
        <v>307</v>
      </c>
      <c r="D79" s="1" t="s">
        <v>110</v>
      </c>
      <c r="E79" s="1" t="s">
        <v>199</v>
      </c>
      <c r="F79" s="1" t="s">
        <v>7</v>
      </c>
      <c r="G79" s="1" t="s">
        <v>7</v>
      </c>
      <c r="H79" s="1">
        <f t="shared" si="4"/>
        <v>2</v>
      </c>
      <c r="I79" s="1">
        <f t="shared" si="5"/>
        <v>1</v>
      </c>
    </row>
    <row r="80" spans="1:9" x14ac:dyDescent="0.3">
      <c r="A80" s="2" t="s">
        <v>310</v>
      </c>
      <c r="B80" s="2" t="s">
        <v>311</v>
      </c>
      <c r="C80" s="2" t="s">
        <v>312</v>
      </c>
      <c r="D80" s="2" t="s">
        <v>183</v>
      </c>
      <c r="E80" s="2" t="s">
        <v>301</v>
      </c>
      <c r="F80" s="2" t="s">
        <v>7</v>
      </c>
      <c r="G80" s="2" t="s">
        <v>7</v>
      </c>
      <c r="H80" s="2">
        <f t="shared" si="4"/>
        <v>2</v>
      </c>
      <c r="I80" s="2">
        <f t="shared" si="5"/>
        <v>1</v>
      </c>
    </row>
  </sheetData>
  <pageMargins left="0.70866141732283472" right="0.70866141732283472" top="0.74803149606299213" bottom="0.74803149606299213" header="0.31496062992125984" footer="0.31496062992125984"/>
  <pageSetup paperSize="9"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ZBOOK</cp:lastModifiedBy>
  <cp:lastPrinted>2026-05-05T00:37:51Z</cp:lastPrinted>
  <dcterms:modified xsi:type="dcterms:W3CDTF">2026-05-05T01:22:34Z</dcterms:modified>
</cp:coreProperties>
</file>